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일정 체크리스트" sheetId="1" state="visible" r:id="rId1"/>
    <sheet xmlns:r="http://schemas.openxmlformats.org/officeDocument/2006/relationships" name="② 준비물·패킹" sheetId="2" state="visible" r:id="rId2"/>
    <sheet xmlns:r="http://schemas.openxmlformats.org/officeDocument/2006/relationships" name="③ 판촉물 @re.feeel" sheetId="3" state="visible" r:id="rId3"/>
    <sheet xmlns:r="http://schemas.openxmlformats.org/officeDocument/2006/relationships" name="④ 일일 배포 기록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"/>
  </numFmts>
  <fonts count="3">
    <font>
      <name val="Calibri"/>
      <family val="2"/>
      <color theme="1"/>
      <sz val="11"/>
      <scheme val="minor"/>
    </font>
    <font>
      <b val="1"/>
      <color rgb="00C6F432"/>
    </font>
    <font>
      <b val="1"/>
      <color rgb="00B00020"/>
    </font>
  </fonts>
  <fills count="3">
    <fill>
      <patternFill/>
    </fill>
    <fill>
      <patternFill patternType="gray125"/>
    </fill>
    <fill>
      <patternFill patternType="solid">
        <fgColor rgb="000D0D0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9" fontId="0" fillId="0" borderId="0" pivotButton="0" quotePrefix="0" xfId="0"/>
    <xf numFmtId="3" fontId="0" fillId="0" borderId="1" applyAlignment="1" pivotButton="0" quotePrefix="0" xfId="0">
      <alignment vertical="top" wrapText="1"/>
    </xf>
    <xf numFmtId="165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dxfs count="3">
    <dxf>
      <font>
        <color rgb="00777777"/>
      </font>
      <fill>
        <patternFill patternType="solid">
          <fgColor rgb="00E8F5C8"/>
        </patternFill>
      </fill>
    </dxf>
    <dxf>
      <fill>
        <patternFill patternType="solid">
          <fgColor rgb="00FFD6D6"/>
        </patternFill>
      </fill>
    </dxf>
    <dxf>
      <fill>
        <patternFill patternType="solid">
          <fgColor rgb="00FFF3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8" customWidth="1" min="3" max="3"/>
    <col width="9" customWidth="1" min="4" max="4"/>
    <col width="62" customWidth="1" min="5" max="5"/>
    <col width="8" customWidth="1" min="6" max="6"/>
    <col width="9" customWidth="1" min="7" max="7"/>
    <col width="58" customWidth="1" min="8" max="8"/>
  </cols>
  <sheetData>
    <row r="1" ht="24" customHeight="1">
      <c r="A1" s="1" t="inlineStr">
        <is>
          <t>마감일</t>
        </is>
      </c>
      <c r="B1" s="1" t="inlineStr">
        <is>
          <t>요일</t>
        </is>
      </c>
      <c r="C1" s="1" t="inlineStr">
        <is>
          <t>D-day</t>
        </is>
      </c>
      <c r="D1" s="1" t="inlineStr">
        <is>
          <t>분류</t>
        </is>
      </c>
      <c r="E1" s="1" t="inlineStr">
        <is>
          <t>할 일</t>
        </is>
      </c>
      <c r="F1" s="1" t="inlineStr">
        <is>
          <t>담당</t>
        </is>
      </c>
      <c r="G1" s="1" t="inlineStr">
        <is>
          <t>상태</t>
        </is>
      </c>
      <c r="H1" s="1" t="inlineStr">
        <is>
          <t>비고 / 완료 기준</t>
        </is>
      </c>
    </row>
    <row r="2">
      <c r="A2" s="2" t="n">
        <v>46311</v>
      </c>
      <c r="B2" s="3" t="inlineStr">
        <is>
          <t>금</t>
        </is>
      </c>
      <c r="C2" s="3">
        <f>IF(G2="완료","✔",A2-TODAY())</f>
        <v/>
      </c>
      <c r="D2" s="3" t="inlineStr">
        <is>
          <t>판촉물</t>
        </is>
      </c>
      <c r="E2" s="3" t="inlineStr">
        <is>
          <t>볼펜·칫솔 판촉 업체 2곳 견적 요청 (로고 @re.feeel · 수량 · 납기 11/6)</t>
        </is>
      </c>
      <c r="F2" s="3" t="inlineStr">
        <is>
          <t>대표</t>
        </is>
      </c>
      <c r="G2" s="3" t="inlineStr">
        <is>
          <t>대기</t>
        </is>
      </c>
      <c r="H2" s="3" t="inlineStr">
        <is>
          <t>③시트 사양 그대로 전달 · 단가·MOQ·인쇄방식·시안 일정 회신</t>
        </is>
      </c>
    </row>
    <row r="3">
      <c r="A3" s="2" t="n">
        <v>46311</v>
      </c>
      <c r="B3" s="3" t="inlineStr">
        <is>
          <t>금</t>
        </is>
      </c>
      <c r="C3" s="3">
        <f>IF(G3="완료","✔",A3-TODAY())</f>
        <v/>
      </c>
      <c r="D3" s="3" t="inlineStr">
        <is>
          <t>판촉물</t>
        </is>
      </c>
      <c r="E3" s="3" t="inlineStr">
        <is>
          <t>@re.feeel 로고 인쇄용 파일 준비 (AI/벡터 · 1도 · 최소 크기 확인)</t>
        </is>
      </c>
      <c r="F3" s="3" t="inlineStr">
        <is>
          <t>디자인</t>
        </is>
      </c>
      <c r="G3" s="3" t="inlineStr">
        <is>
          <t>대기</t>
        </is>
      </c>
      <c r="H3" s="3" t="inlineStr">
        <is>
          <t>칫솔 핸들 폭 약 10mm → 로고 가로 25~30mm 이내 · 곰 마스코트 대신 워드마크</t>
        </is>
      </c>
    </row>
    <row r="4">
      <c r="A4" s="2" t="n">
        <v>46311</v>
      </c>
      <c r="B4" s="3" t="inlineStr">
        <is>
          <t>금</t>
        </is>
      </c>
      <c r="C4" s="3">
        <f>IF(G4="완료","✔",A4-TODAY())</f>
        <v/>
      </c>
      <c r="D4" s="3" t="inlineStr">
        <is>
          <t>인스타</t>
        </is>
      </c>
      <c r="E4" s="3" t="inlineStr">
        <is>
          <t>@re.feeel 계정 정비 — 프로필(한 줄 소개·링크)·게시물 최소 9개·하이라이트 3개</t>
        </is>
      </c>
      <c r="F4" s="3" t="inlineStr">
        <is>
          <t>마케팅</t>
        </is>
      </c>
      <c r="G4" s="3" t="inlineStr">
        <is>
          <t>대기</t>
        </is>
      </c>
      <c r="H4" s="3" t="inlineStr">
        <is>
          <t>팔로우하러 온 사람이 "볼 게 있는" 상태 · 비공개 ❌ · 비즈니스 계정 전환</t>
        </is>
      </c>
    </row>
    <row r="5">
      <c r="A5" s="2" t="n">
        <v>46312</v>
      </c>
      <c r="B5" s="3" t="inlineStr">
        <is>
          <t>토</t>
        </is>
      </c>
      <c r="C5" s="3">
        <f>IF(G5="완료","✔",A5-TODAY())</f>
        <v/>
      </c>
      <c r="D5" s="3" t="inlineStr">
        <is>
          <t>인쇄물</t>
        </is>
      </c>
      <c r="E5" s="3" t="inlineStr">
        <is>
          <t>스터닝에 v4 전달 (족자6·X배너3·POP3·리플렛) + 족자봉 결합부 치수 확인</t>
        </is>
      </c>
      <c r="F5" s="3" t="inlineStr">
        <is>
          <t>대표</t>
        </is>
      </c>
      <c r="G5" s="3" t="inlineStr">
        <is>
          <t>대기</t>
        </is>
      </c>
      <c r="H5" s="3" t="inlineStr">
        <is>
          <t>v4 전달서·zip · 사진 자리 = 📷 STUDIO 박스 → 11/3 교체 예정 고지</t>
        </is>
      </c>
    </row>
    <row r="6">
      <c r="A6" s="2" t="n">
        <v>46312</v>
      </c>
      <c r="B6" s="3" t="inlineStr">
        <is>
          <t>토</t>
        </is>
      </c>
      <c r="C6" s="3">
        <f>IF(G6="완료","✔",A6-TODAY())</f>
        <v/>
      </c>
      <c r="D6" s="3" t="inlineStr">
        <is>
          <t>집기</t>
        </is>
      </c>
      <c r="E6" s="3" t="inlineStr">
        <is>
          <t>KDRS 견적 요청 (부스 가이드 ③표 그대로) — 4일 기준 여부·운반설치비</t>
        </is>
      </c>
      <c r="F6" s="3" t="inlineStr">
        <is>
          <t>대표</t>
        </is>
      </c>
      <c r="G6" s="3" t="inlineStr">
        <is>
          <t>대기</t>
        </is>
      </c>
      <c r="H6" s="3" t="inlineStr">
        <is>
          <t>02-907-9270 · 집기 임차료 2,059천원(공급가) 안에서</t>
        </is>
      </c>
    </row>
    <row r="7">
      <c r="A7" s="2" t="n">
        <v>46312</v>
      </c>
      <c r="B7" s="3" t="inlineStr">
        <is>
          <t>토</t>
        </is>
      </c>
      <c r="C7" s="3">
        <f>IF(G7="완료","✔",A7-TODAY())</f>
        <v/>
      </c>
      <c r="D7" s="3" t="inlineStr">
        <is>
          <t>사무국</t>
        </is>
      </c>
      <c r="E7" s="3" t="inlineStr">
        <is>
          <t>메가쇼 전시준비안내서 확인 — 반입/철거 시간·전기(TV)·스포트라이트 추가 신청·출입증·차량 반입증·기본 데스크 규격</t>
        </is>
      </c>
      <c r="F7" s="3" t="inlineStr">
        <is>
          <t>대표</t>
        </is>
      </c>
      <c r="G7" s="3" t="inlineStr">
        <is>
          <t>대기</t>
        </is>
      </c>
      <c r="H7" s="3" t="inlineStr">
        <is>
          <t>기본 제공 = 데스크1·의자2·하이라이트 조명 · 스포트 추가(족자 RS2·re2) 신청 마감일 표에 추가</t>
        </is>
      </c>
    </row>
    <row r="8">
      <c r="A8" s="2" t="n">
        <v>46312</v>
      </c>
      <c r="B8" s="3" t="inlineStr">
        <is>
          <t>토</t>
        </is>
      </c>
      <c r="C8" s="3">
        <f>IF(G8="완료","✔",A8-TODAY())</f>
        <v/>
      </c>
      <c r="D8" s="3" t="inlineStr">
        <is>
          <t>원장</t>
        </is>
      </c>
      <c r="E8" s="3" t="inlineStr">
        <is>
          <t>원장님께 X배너 시안 + 활용계획 공유 → 계약서 매체에 "박람회 배너" 추가 동의</t>
        </is>
      </c>
      <c r="F8" s="3" t="inlineStr">
        <is>
          <t>대표</t>
        </is>
      </c>
      <c r="G8" s="3" t="inlineStr">
        <is>
          <t>대기</t>
        </is>
      </c>
      <c r="H8" s="3" t="inlineStr">
        <is>
          <t>서면(문자·메일) 동의 남기기 · 인용 문구 후보 2개 함께</t>
        </is>
      </c>
    </row>
    <row r="9">
      <c r="A9" s="2" t="n">
        <v>46314</v>
      </c>
      <c r="B9" s="3" t="inlineStr">
        <is>
          <t>월</t>
        </is>
      </c>
      <c r="C9" s="3">
        <f>IF(G9="완료","✔",A9-TODAY())</f>
        <v/>
      </c>
      <c r="D9" s="3" t="inlineStr">
        <is>
          <t>재사용 제작물</t>
        </is>
      </c>
      <c r="E9" s="3" t="inlineStr">
        <is>
          <t>허니콤 보드 포디움 2 · 인쇄 스판 테이블 커버 · 포맥스 로고 사인 견적 (스터닝 추가 or 전문 업체)</t>
        </is>
      </c>
      <c r="F9" s="3" t="inlineStr">
        <is>
          <t>대표</t>
        </is>
      </c>
      <c r="G9" s="3" t="inlineStr">
        <is>
          <t>대기</t>
        </is>
      </c>
      <c r="H9" s="3" t="inlineStr">
        <is>
          <t>렌탈 집기엔 부착 없음 · 다음 전시 재사용 전제 · 세목 = 안내홍보물(POP·배너)</t>
        </is>
      </c>
    </row>
    <row r="10">
      <c r="A10" s="2" t="n">
        <v>46314</v>
      </c>
      <c r="B10" s="3" t="inlineStr">
        <is>
          <t>월</t>
        </is>
      </c>
      <c r="C10" s="3">
        <f>IF(G10="완료","✔",A10-TODAY())</f>
        <v/>
      </c>
      <c r="D10" s="3" t="inlineStr">
        <is>
          <t>판촉물</t>
        </is>
      </c>
      <c r="E10" s="3" t="inlineStr">
        <is>
          <t>판촉물 업체 선정 · 디지털 시안 확인</t>
        </is>
      </c>
      <c r="F10" s="3" t="inlineStr">
        <is>
          <t>대표</t>
        </is>
      </c>
      <c r="G10" s="3" t="inlineStr">
        <is>
          <t>대기</t>
        </is>
      </c>
      <c r="H10" s="3" t="inlineStr">
        <is>
          <t>로고 위치·색(라임/블랙/그린) · 칫솔 개별 포장에 표시사항 확인</t>
        </is>
      </c>
    </row>
    <row r="11">
      <c r="A11" s="2" t="n">
        <v>46314</v>
      </c>
      <c r="B11" s="3" t="inlineStr">
        <is>
          <t>월</t>
        </is>
      </c>
      <c r="C11" s="3">
        <f>IF(G11="완료","✔",A11-TODAY())</f>
        <v/>
      </c>
      <c r="D11" s="3" t="inlineStr">
        <is>
          <t>예산</t>
        </is>
      </c>
      <c r="E11" s="3" t="inlineStr">
        <is>
          <t>굿즈 집행 세목 확인 — 안내홍보물 제작비 "전시회 배포용 업사이클링 굿즈 2,000천원"</t>
        </is>
      </c>
      <c r="F11" s="3" t="inlineStr">
        <is>
          <t>대표</t>
        </is>
      </c>
      <c r="G11" s="3" t="inlineStr">
        <is>
          <t>대기</t>
        </is>
      </c>
      <c r="H11" s="3" t="inlineStr">
        <is>
          <t>세금계산서·시안·배포 사진이 증빙 · 11/15 소진 기한 안에 지급</t>
        </is>
      </c>
    </row>
    <row r="12">
      <c r="A12" s="2" t="n">
        <v>46316</v>
      </c>
      <c r="B12" s="3" t="inlineStr">
        <is>
          <t>수</t>
        </is>
      </c>
      <c r="C12" s="3">
        <f>IF(G12="완료","✔",A12-TODAY())</f>
        <v/>
      </c>
      <c r="D12" s="3" t="inlineStr">
        <is>
          <t>판촉물</t>
        </is>
      </c>
      <c r="E12" s="4" t="inlineStr">
        <is>
          <t>🔴 판촉물 발주 + 계약금 (납기 11/6 확약)</t>
        </is>
      </c>
      <c r="F12" s="3" t="inlineStr">
        <is>
          <t>대표</t>
        </is>
      </c>
      <c r="G12" s="3" t="inlineStr">
        <is>
          <t>대기</t>
        </is>
      </c>
      <c r="H12" s="3" t="inlineStr">
        <is>
          <t>발주 마감 — 이날 넘기면 메가쇼 납기 위험 · e나라도움 전용카드/세금계산서</t>
        </is>
      </c>
    </row>
    <row r="13">
      <c r="A13" s="2" t="n">
        <v>46316</v>
      </c>
      <c r="B13" s="3" t="inlineStr">
        <is>
          <t>수</t>
        </is>
      </c>
      <c r="C13" s="3">
        <f>IF(G13="완료","✔",A13-TODAY())</f>
        <v/>
      </c>
      <c r="D13" s="3" t="inlineStr">
        <is>
          <t>집기</t>
        </is>
      </c>
      <c r="E13" s="3" t="inlineStr">
        <is>
          <t>KDRS 확정 발주 (기본안 + 옵션) · 설치 시간 = 반입일 오전</t>
        </is>
      </c>
      <c r="F13" s="3" t="inlineStr">
        <is>
          <t>대표</t>
        </is>
      </c>
      <c r="G13" s="3" t="inlineStr">
        <is>
          <t>대기</t>
        </is>
      </c>
      <c r="H13" s="3" t="inlineStr">
        <is>
          <t>배치도 PDF 첨부 · 판매매대·포디움 PET 래핑 시 사이즈 재확인</t>
        </is>
      </c>
    </row>
    <row r="14">
      <c r="A14" s="2" t="n">
        <v>46317</v>
      </c>
      <c r="B14" s="3" t="inlineStr">
        <is>
          <t>목</t>
        </is>
      </c>
      <c r="C14" s="3">
        <f>IF(G14="완료","✔",A14-TODAY())</f>
        <v/>
      </c>
      <c r="D14" s="3" t="inlineStr">
        <is>
          <t>재사용 제작물</t>
        </is>
      </c>
      <c r="E14" s="3" t="inlineStr">
        <is>
          <t>허니콤 포디움·스판 커버·로고 사인 발주 (납기 11/6)</t>
        </is>
      </c>
      <c r="F14" s="3" t="inlineStr">
        <is>
          <t>대표</t>
        </is>
      </c>
      <c r="G14" s="3" t="inlineStr">
        <is>
          <t>대기</t>
        </is>
      </c>
      <c r="H14" s="3" t="inlineStr">
        <is>
          <t>스판 커버는 기본 데스크 규격 확정 후</t>
        </is>
      </c>
    </row>
    <row r="15">
      <c r="A15" s="2" t="n">
        <v>46316</v>
      </c>
      <c r="B15" s="3" t="inlineStr">
        <is>
          <t>수</t>
        </is>
      </c>
      <c r="C15" s="3">
        <f>IF(G15="완료","✔",A15-TODAY())</f>
        <v/>
      </c>
      <c r="D15" s="3" t="inlineStr">
        <is>
          <t>사무국</t>
        </is>
      </c>
      <c r="E15" s="3" t="inlineStr">
        <is>
          <t>부스 간판명 제출 (영문 병기)</t>
        </is>
      </c>
      <c r="F15" s="3" t="inlineStr">
        <is>
          <t>대표</t>
        </is>
      </c>
      <c r="G15" s="3" t="inlineStr">
        <is>
          <t>대기</t>
        </is>
      </c>
      <c r="H15" s="3" t="inlineStr">
        <is>
          <t>"RS RhaRa Shoe · re.feeel"</t>
        </is>
      </c>
    </row>
    <row r="16">
      <c r="A16" s="2" t="n">
        <v>46317</v>
      </c>
      <c r="B16" s="3" t="inlineStr">
        <is>
          <t>목</t>
        </is>
      </c>
      <c r="C16" s="3">
        <f>IF(G16="완료","✔",A16-TODAY())</f>
        <v/>
      </c>
      <c r="D16" s="3" t="inlineStr">
        <is>
          <t>번역</t>
        </is>
      </c>
      <c r="E16" s="3" t="inlineStr">
        <is>
          <t>리플렛 中文·日本語 원어민 검수 의뢰</t>
        </is>
      </c>
      <c r="F16" s="3" t="inlineStr">
        <is>
          <t>대표</t>
        </is>
      </c>
      <c r="G16" s="3" t="inlineStr">
        <is>
          <t>대기</t>
        </is>
      </c>
      <c r="H16" s="3" t="inlineStr">
        <is>
          <t>검수본 → 스터닝 전달 10/28까지</t>
        </is>
      </c>
    </row>
    <row r="17">
      <c r="A17" s="2" t="n">
        <v>46317</v>
      </c>
      <c r="B17" s="3" t="inlineStr">
        <is>
          <t>목</t>
        </is>
      </c>
      <c r="C17" s="3">
        <f>IF(G17="완료","✔",A17-TODAY())</f>
        <v/>
      </c>
      <c r="D17" s="3" t="inlineStr">
        <is>
          <t>원장</t>
        </is>
      </c>
      <c r="E17" s="3" t="inlineStr">
        <is>
          <t>인용 문구 확정 (원장 승인본) · 10/28 촬영 시간 확정</t>
        </is>
      </c>
      <c r="F17" s="3" t="inlineStr">
        <is>
          <t>대표</t>
        </is>
      </c>
      <c r="G17" s="3" t="inlineStr">
        <is>
          <t>대기</t>
        </is>
      </c>
      <c r="H17" s="3" t="inlineStr">
        <is>
          <t>X배너 ③ · 상세 · 브로셔 공통</t>
        </is>
      </c>
    </row>
    <row r="18">
      <c r="A18" s="2" t="n">
        <v>46318</v>
      </c>
      <c r="B18" s="3" t="inlineStr">
        <is>
          <t>금</t>
        </is>
      </c>
      <c r="C18" s="3">
        <f>IF(G18="완료","✔",A18-TODAY())</f>
        <v/>
      </c>
      <c r="D18" s="3" t="inlineStr">
        <is>
          <t>재고</t>
        </is>
      </c>
      <c r="E18" s="3" t="inlineStr">
        <is>
          <t>박람회 재고 계획 확정 — 워킹화 사이즈×색 · 인솔 · 칫솔·치실·양치컵 · 욕실화</t>
        </is>
      </c>
      <c r="F18" s="3" t="inlineStr">
        <is>
          <t>대표</t>
        </is>
      </c>
      <c r="G18" s="3" t="inlineStr">
        <is>
          <t>대기</t>
        </is>
      </c>
      <c r="H18" s="3" t="inlineStr">
        <is>
          <t>②시트 수량 · 판매 재고는 메가쇼 소진분 보고 서디페 보충</t>
        </is>
      </c>
    </row>
    <row r="19">
      <c r="A19" s="2" t="n">
        <v>46318</v>
      </c>
      <c r="B19" s="3" t="inlineStr">
        <is>
          <t>금</t>
        </is>
      </c>
      <c r="C19" s="3">
        <f>IF(G19="완료","✔",A19-TODAY())</f>
        <v/>
      </c>
      <c r="D19" s="3" t="inlineStr">
        <is>
          <t>결제</t>
        </is>
      </c>
      <c r="E19" s="3" t="inlineStr">
        <is>
          <t>카드 단말기(무선) 확보 · 계좌이체 QR · 현금영수증 · 가격표 확정</t>
        </is>
      </c>
      <c r="F19" s="3" t="inlineStr">
        <is>
          <t>대표</t>
        </is>
      </c>
      <c r="G19" s="3" t="inlineStr">
        <is>
          <t>대기</t>
        </is>
      </c>
      <c r="H19" s="3" t="inlineStr">
        <is>
          <t>박람회 현장가 = 구성 추가 원칙(할인 ❌) — POP 현장가 칸 기입값 결정</t>
        </is>
      </c>
    </row>
    <row r="20">
      <c r="A20" s="2" t="n">
        <v>46319</v>
      </c>
      <c r="B20" s="3" t="inlineStr">
        <is>
          <t>토</t>
        </is>
      </c>
      <c r="C20" s="3">
        <f>IF(G20="완료","✔",A20-TODAY())</f>
        <v/>
      </c>
      <c r="D20" s="3" t="inlineStr">
        <is>
          <t>인스타</t>
        </is>
      </c>
      <c r="E20" s="3" t="inlineStr">
        <is>
          <t>@re.feeel 박람회 예고 게시물 3개 예약 (11/9·11/11·11/12)</t>
        </is>
      </c>
      <c r="F20" s="3" t="inlineStr">
        <is>
          <t>마케팅</t>
        </is>
      </c>
      <c r="G20" s="3" t="inlineStr">
        <is>
          <t>대기</t>
        </is>
      </c>
      <c r="H20" s="3" t="inlineStr">
        <is>
          <t>"킨텍스에서 만나요 · 팔로우하면 CXP 볼펜" · 부스 번호 표기</t>
        </is>
      </c>
    </row>
    <row r="21">
      <c r="A21" s="2" t="n">
        <v>46321</v>
      </c>
      <c r="B21" s="3" t="inlineStr">
        <is>
          <t>월</t>
        </is>
      </c>
      <c r="C21" s="3">
        <f>IF(G21="완료","✔",A21-TODAY())</f>
        <v/>
      </c>
      <c r="D21" s="3" t="inlineStr">
        <is>
          <t>인력</t>
        </is>
      </c>
      <c r="E21" s="3" t="inlineStr">
        <is>
          <t>근무표 확정 (메가쇼 4일 · 2~3명) + 유니폼(블랙 티) · 명찰</t>
        </is>
      </c>
      <c r="F21" s="3" t="inlineStr">
        <is>
          <t>대표</t>
        </is>
      </c>
      <c r="G21" s="3" t="inlineStr">
        <is>
          <t>대기</t>
        </is>
      </c>
      <c r="H21" s="3" t="inlineStr">
        <is>
          <t>입구·시착·카운터 3역할 · 점심 교대</t>
        </is>
      </c>
    </row>
    <row r="22">
      <c r="A22" s="2" t="n">
        <v>46323</v>
      </c>
      <c r="B22" s="3" t="inlineStr">
        <is>
          <t>수</t>
        </is>
      </c>
      <c r="C22" s="3">
        <f>IF(G22="완료","✔",A22-TODAY())</f>
        <v/>
      </c>
      <c r="D22" s="3" t="inlineStr">
        <is>
          <t>촬영</t>
        </is>
      </c>
      <c r="E22" s="3" t="inlineStr">
        <is>
          <t>스튜디오 촬영 (shot-list-v4.md 전 컷) + 원장 촬영 D1~D5</t>
        </is>
      </c>
      <c r="F22" s="3" t="inlineStr">
        <is>
          <t>대표</t>
        </is>
      </c>
      <c r="G22" s="3" t="inlineStr">
        <is>
          <t>대기</t>
        </is>
      </c>
      <c r="H22" s="3" t="inlineStr">
        <is>
          <t>RS-01·02·03 · RF-01~05 · X1~X3 · P1~P3 · L-01~04</t>
        </is>
      </c>
    </row>
    <row r="23">
      <c r="A23" s="2" t="n">
        <v>46323</v>
      </c>
      <c r="B23" s="3" t="inlineStr">
        <is>
          <t>수</t>
        </is>
      </c>
      <c r="C23" s="3">
        <f>IF(G23="완료","✔",A23-TODAY())</f>
        <v/>
      </c>
      <c r="D23" s="3" t="inlineStr">
        <is>
          <t>번역</t>
        </is>
      </c>
      <c r="E23" s="3" t="inlineStr">
        <is>
          <t>검수본 스터닝 전달</t>
        </is>
      </c>
      <c r="F23" s="3" t="inlineStr">
        <is>
          <t>대표</t>
        </is>
      </c>
      <c r="G23" s="3" t="inlineStr">
        <is>
          <t>대기</t>
        </is>
      </c>
      <c r="H23" s="3" t="inlineStr"/>
    </row>
    <row r="24">
      <c r="A24" s="2" t="n">
        <v>46324</v>
      </c>
      <c r="B24" s="3" t="inlineStr">
        <is>
          <t>목</t>
        </is>
      </c>
      <c r="C24" s="3">
        <f>IF(G24="완료","✔",A24-TODAY())</f>
        <v/>
      </c>
      <c r="D24" s="3" t="inlineStr">
        <is>
          <t>판촉물</t>
        </is>
      </c>
      <c r="E24" s="3" t="inlineStr">
        <is>
          <t>판촉물 실물 샘플(1~2개) 확인 — 로고 선명도·색·포장</t>
        </is>
      </c>
      <c r="F24" s="3" t="inlineStr">
        <is>
          <t>대표</t>
        </is>
      </c>
      <c r="G24" s="3" t="inlineStr">
        <is>
          <t>대기</t>
        </is>
      </c>
      <c r="H24" s="3" t="inlineStr">
        <is>
          <t>불량 시 이날 수정 지시해야 11/6 납기</t>
        </is>
      </c>
    </row>
    <row r="25">
      <c r="A25" s="2" t="n">
        <v>46325</v>
      </c>
      <c r="B25" s="3" t="inlineStr">
        <is>
          <t>금</t>
        </is>
      </c>
      <c r="C25" s="3">
        <f>IF(G25="완료","✔",A25-TODAY())</f>
        <v/>
      </c>
      <c r="D25" s="3" t="inlineStr">
        <is>
          <t>응대</t>
        </is>
      </c>
      <c r="E25" s="3" t="inlineStr">
        <is>
          <t>현장 응대 스크립트 + FAQ 카드 + 금칙어 카드 (교정·통증·피로·미끄럼 방지 보장 ❌)</t>
        </is>
      </c>
      <c r="F25" s="3" t="inlineStr">
        <is>
          <t>마케팅</t>
        </is>
      </c>
      <c r="G25" s="3" t="inlineStr">
        <is>
          <t>대기</t>
        </is>
      </c>
      <c r="H25" s="3" t="inlineStr">
        <is>
          <t>"정형외과가 추천" ❌ → "설계 자문" · 볼펜·칫솔 이벤트 안내 멘트</t>
        </is>
      </c>
    </row>
    <row r="26">
      <c r="A26" s="2" t="n">
        <v>46326</v>
      </c>
      <c r="B26" s="3" t="inlineStr">
        <is>
          <t>토</t>
        </is>
      </c>
      <c r="C26" s="3">
        <f>IF(G26="완료","✔",A26-TODAY())</f>
        <v/>
      </c>
      <c r="D26" s="3" t="inlineStr">
        <is>
          <t>운영</t>
        </is>
      </c>
      <c r="E26" s="3" t="inlineStr">
        <is>
          <t>이벤트 운영 규칙 확정 — 일일 수량·1인 1회·소진 안내판·#이벤트참여 안내</t>
        </is>
      </c>
      <c r="F26" s="3" t="inlineStr">
        <is>
          <t>대표</t>
        </is>
      </c>
      <c r="G26" s="3" t="inlineStr">
        <is>
          <t>대기</t>
        </is>
      </c>
      <c r="H26" s="3" t="inlineStr">
        <is>
          <t>④시트 배포 기록 양식 사용</t>
        </is>
      </c>
    </row>
    <row r="27">
      <c r="A27" s="2" t="n">
        <v>46328</v>
      </c>
      <c r="B27" s="3" t="inlineStr">
        <is>
          <t>월</t>
        </is>
      </c>
      <c r="C27" s="3">
        <f>IF(G27="완료","✔",A27-TODAY())</f>
        <v/>
      </c>
      <c r="D27" s="3" t="inlineStr">
        <is>
          <t>영상</t>
        </is>
      </c>
      <c r="E27" s="3" t="inlineStr">
        <is>
          <t>TV용 루프 영상 (브랜드 필름 + 원장 인터뷰 30초 · 무음 자막 · mp4 USB)</t>
        </is>
      </c>
      <c r="F27" s="3" t="inlineStr">
        <is>
          <t>마케팅</t>
        </is>
      </c>
      <c r="G27" s="3" t="inlineStr">
        <is>
          <t>대기</t>
        </is>
      </c>
      <c r="H27" s="3" t="inlineStr">
        <is>
          <t>원장 승인본만</t>
        </is>
      </c>
    </row>
    <row r="28">
      <c r="A28" s="2" t="n">
        <v>46329</v>
      </c>
      <c r="B28" s="3" t="inlineStr">
        <is>
          <t>화</t>
        </is>
      </c>
      <c r="C28" s="3">
        <f>IF(G28="완료","✔",A28-TODAY())</f>
        <v/>
      </c>
      <c r="D28" s="3" t="inlineStr">
        <is>
          <t>인쇄물</t>
        </is>
      </c>
      <c r="E28" s="3" t="inlineStr">
        <is>
          <t>촬영 사진 → 스터닝 교체 전달 (STUDIO 박스 전부)</t>
        </is>
      </c>
      <c r="F28" s="3" t="inlineStr">
        <is>
          <t>대표</t>
        </is>
      </c>
      <c r="G28" s="3" t="inlineStr">
        <is>
          <t>대기</t>
        </is>
      </c>
      <c r="H28" s="3" t="inlineStr">
        <is>
          <t>1컷 누락 = 그 자리 공백 출력</t>
        </is>
      </c>
    </row>
    <row r="29">
      <c r="A29" s="2" t="n">
        <v>46330</v>
      </c>
      <c r="B29" s="3" t="inlineStr">
        <is>
          <t>수</t>
        </is>
      </c>
      <c r="C29" s="3">
        <f>IF(G29="완료","✔",A29-TODAY())</f>
        <v/>
      </c>
      <c r="D29" s="3" t="inlineStr">
        <is>
          <t>인쇄물</t>
        </is>
      </c>
      <c r="E29" s="3" t="inlineStr">
        <is>
          <t>최종 교정 PDF 확인 — 금칙어·가격·계정명 @re.feeel·QR 스캔 테스트</t>
        </is>
      </c>
      <c r="F29" s="3" t="inlineStr">
        <is>
          <t>대표</t>
        </is>
      </c>
      <c r="G29" s="3" t="inlineStr">
        <is>
          <t>대기</t>
        </is>
      </c>
      <c r="H29" s="3" t="inlineStr">
        <is>
          <t>QR 실제 폰으로 스캔 · 고지 문구 남아 있는지</t>
        </is>
      </c>
    </row>
    <row r="30">
      <c r="A30" s="2" t="n">
        <v>46331</v>
      </c>
      <c r="B30" s="3" t="inlineStr">
        <is>
          <t>목</t>
        </is>
      </c>
      <c r="C30" s="3">
        <f>IF(G30="완료","✔",A30-TODAY())</f>
        <v/>
      </c>
      <c r="D30" s="3" t="inlineStr">
        <is>
          <t>인쇄물</t>
        </is>
      </c>
      <c r="E30" s="4" t="inlineStr">
        <is>
          <t>🔴 출력 발주 (족자6·X배너3·POP3·리플렛1000·명함200)</t>
        </is>
      </c>
      <c r="F30" s="3" t="inlineStr">
        <is>
          <t>대표</t>
        </is>
      </c>
      <c r="G30" s="3" t="inlineStr">
        <is>
          <t>대기</t>
        </is>
      </c>
      <c r="H30" s="3" t="inlineStr">
        <is>
          <t>납품 = 11/10 사무실 또는 현장 직배송 결정</t>
        </is>
      </c>
    </row>
    <row r="31">
      <c r="A31" s="2" t="n">
        <v>46332</v>
      </c>
      <c r="B31" s="3" t="inlineStr">
        <is>
          <t>금</t>
        </is>
      </c>
      <c r="C31" s="3">
        <f>IF(G31="완료","✔",A31-TODAY())</f>
        <v/>
      </c>
      <c r="D31" s="3" t="inlineStr">
        <is>
          <t>판촉물</t>
        </is>
      </c>
      <c r="E31" s="4" t="inlineStr">
        <is>
          <t>🔴 판촉물 입고 · 수량 검수 · 박람회별 분리 포장 (메가쇼/서디페)</t>
        </is>
      </c>
      <c r="F31" s="3" t="inlineStr">
        <is>
          <t>대표</t>
        </is>
      </c>
      <c r="G31" s="3" t="inlineStr">
        <is>
          <t>대기</t>
        </is>
      </c>
      <c r="H31" s="3" t="inlineStr">
        <is>
          <t>③시트 배분 · 남는 잔량 보관</t>
        </is>
      </c>
    </row>
    <row r="32">
      <c r="A32" s="2" t="n">
        <v>46333</v>
      </c>
      <c r="B32" s="3" t="inlineStr">
        <is>
          <t>토</t>
        </is>
      </c>
      <c r="C32" s="3">
        <f>IF(G32="완료","✔",A32-TODAY())</f>
        <v/>
      </c>
      <c r="D32" s="3" t="inlineStr">
        <is>
          <t>예산</t>
        </is>
      </c>
      <c r="E32" s="3" t="inlineStr">
        <is>
          <t>판촉물·출력물 대금 지급 + 증빙 정리 (세금계산서·시안·납품 사진)</t>
        </is>
      </c>
      <c r="F32" s="3" t="inlineStr">
        <is>
          <t>대표</t>
        </is>
      </c>
      <c r="G32" s="3" t="inlineStr">
        <is>
          <t>대기</t>
        </is>
      </c>
      <c r="H32" s="3" t="inlineStr">
        <is>
          <t>11/15 소진 기한 전 — 메가쇼 집기·부스 포함 체크</t>
        </is>
      </c>
    </row>
    <row r="33">
      <c r="A33" s="2" t="n">
        <v>46335</v>
      </c>
      <c r="B33" s="3" t="inlineStr">
        <is>
          <t>월</t>
        </is>
      </c>
      <c r="C33" s="3">
        <f>IF(G33="완료","✔",A33-TODAY())</f>
        <v/>
      </c>
      <c r="D33" s="3" t="inlineStr">
        <is>
          <t>패킹</t>
        </is>
      </c>
      <c r="E33" s="3" t="inlineStr">
        <is>
          <t>패킹 리스트(②시트) 전체 체크 · 박스 번호·라벨</t>
        </is>
      </c>
      <c r="F33" s="3" t="inlineStr">
        <is>
          <t>전원</t>
        </is>
      </c>
      <c r="G33" s="3" t="inlineStr">
        <is>
          <t>대기</t>
        </is>
      </c>
      <c r="H33" s="3" t="inlineStr">
        <is>
          <t>박스별 내용물 사진</t>
        </is>
      </c>
    </row>
    <row r="34">
      <c r="A34" s="2" t="n">
        <v>46336</v>
      </c>
      <c r="B34" s="3" t="inlineStr">
        <is>
          <t>화</t>
        </is>
      </c>
      <c r="C34" s="3">
        <f>IF(G34="완료","✔",A34-TODAY())</f>
        <v/>
      </c>
      <c r="D34" s="3" t="inlineStr">
        <is>
          <t>리허설</t>
        </is>
      </c>
      <c r="E34" s="3" t="inlineStr">
        <is>
          <t>부스 리허설 30분 — 동선·이벤트 멘트·결제 테스트·인스타 계정 로그인 2대</t>
        </is>
      </c>
      <c r="F34" s="3" t="inlineStr">
        <is>
          <t>전원</t>
        </is>
      </c>
      <c r="G34" s="3" t="inlineStr">
        <is>
          <t>대기</t>
        </is>
      </c>
      <c r="H34" s="3" t="inlineStr">
        <is>
          <t>태블릿에 @re.feeel 팔로워 수 화면 띄워 두기</t>
        </is>
      </c>
    </row>
    <row r="35">
      <c r="A35" s="2" t="n">
        <v>46337</v>
      </c>
      <c r="B35" s="3" t="inlineStr">
        <is>
          <t>수</t>
        </is>
      </c>
      <c r="C35" s="3">
        <f>IF(G35="완료","✔",A35-TODAY())</f>
        <v/>
      </c>
      <c r="D35" s="3" t="inlineStr">
        <is>
          <t>설치</t>
        </is>
      </c>
      <c r="E35" s="4" t="inlineStr">
        <is>
          <t>🔴 반입·설치 (메가쇼 반입일 확인) — 런칭일과 겹침 주의</t>
        </is>
      </c>
      <c r="F35" s="3" t="inlineStr">
        <is>
          <t>전원</t>
        </is>
      </c>
      <c r="G35" s="3" t="inlineStr">
        <is>
          <t>대기</t>
        </is>
      </c>
      <c r="H35" s="3" t="inlineStr">
        <is>
          <t>런칭 업무(스토어 오픈) 담당자 따로 정하기</t>
        </is>
      </c>
    </row>
    <row r="36">
      <c r="A36" s="2" t="n">
        <v>46338</v>
      </c>
      <c r="B36" s="3" t="inlineStr">
        <is>
          <t>목</t>
        </is>
      </c>
      <c r="C36" s="3">
        <f>IF(G36="완료","✔",A36-TODAY())</f>
        <v/>
      </c>
      <c r="D36" s="3" t="inlineStr">
        <is>
          <t>운영</t>
        </is>
      </c>
      <c r="E36" s="3" t="inlineStr">
        <is>
          <t>메가쇼 1일차 — 오픈 전 사진(설치 증빙) · 배포 기록 시작</t>
        </is>
      </c>
      <c r="F36" s="3" t="inlineStr">
        <is>
          <t>전원</t>
        </is>
      </c>
      <c r="G36" s="3" t="inlineStr">
        <is>
          <t>대기</t>
        </is>
      </c>
      <c r="H36" s="3" t="inlineStr">
        <is>
          <t>저녁: 배포 수량·팔로워 증가·판매·명함 기록</t>
        </is>
      </c>
    </row>
    <row r="37">
      <c r="A37" s="2" t="n">
        <v>46339</v>
      </c>
      <c r="B37" s="3" t="inlineStr">
        <is>
          <t>금</t>
        </is>
      </c>
      <c r="C37" s="3">
        <f>IF(G37="완료","✔",A37-TODAY())</f>
        <v/>
      </c>
      <c r="D37" s="3" t="inlineStr">
        <is>
          <t>운영</t>
        </is>
      </c>
      <c r="E37" s="3" t="inlineStr">
        <is>
          <t>2일차 — 재고·판촉물 잔량 보고 일일 수량 조정</t>
        </is>
      </c>
      <c r="F37" s="3" t="inlineStr">
        <is>
          <t>전원</t>
        </is>
      </c>
      <c r="G37" s="3" t="inlineStr">
        <is>
          <t>대기</t>
        </is>
      </c>
      <c r="H37" s="3" t="inlineStr"/>
    </row>
    <row r="38">
      <c r="A38" s="2" t="n">
        <v>46340</v>
      </c>
      <c r="B38" s="3" t="inlineStr">
        <is>
          <t>토</t>
        </is>
      </c>
      <c r="C38" s="3">
        <f>IF(G38="완료","✔",A38-TODAY())</f>
        <v/>
      </c>
      <c r="D38" s="3" t="inlineStr">
        <is>
          <t>운영</t>
        </is>
      </c>
      <c r="E38" s="3" t="inlineStr">
        <is>
          <t>3일차 (주말 피크) — 인력 3명</t>
        </is>
      </c>
      <c r="F38" s="3" t="inlineStr">
        <is>
          <t>전원</t>
        </is>
      </c>
      <c r="G38" s="3" t="inlineStr">
        <is>
          <t>대기</t>
        </is>
      </c>
      <c r="H38" s="3" t="inlineStr"/>
    </row>
    <row r="39">
      <c r="A39" s="2" t="n">
        <v>46341</v>
      </c>
      <c r="B39" s="3" t="inlineStr">
        <is>
          <t>일</t>
        </is>
      </c>
      <c r="C39" s="3">
        <f>IF(G39="완료","✔",A39-TODAY())</f>
        <v/>
      </c>
      <c r="D39" s="3" t="inlineStr">
        <is>
          <t>운영</t>
        </is>
      </c>
      <c r="E39" s="4" t="inlineStr">
        <is>
          <t>4일차 + 철거 · 🔴 사업비 소진 기한</t>
        </is>
      </c>
      <c r="F39" s="3" t="inlineStr">
        <is>
          <t>전원</t>
        </is>
      </c>
      <c r="G39" s="3" t="inlineStr">
        <is>
          <t>대기</t>
        </is>
      </c>
      <c r="H39" s="3" t="inlineStr">
        <is>
          <t>철거 전 전경 사진 · 집기 반납 확인서</t>
        </is>
      </c>
    </row>
    <row r="40">
      <c r="A40" s="2" t="n">
        <v>46343</v>
      </c>
      <c r="B40" s="3" t="inlineStr">
        <is>
          <t>화</t>
        </is>
      </c>
      <c r="C40" s="3">
        <f>IF(G40="완료","✔",A40-TODAY())</f>
        <v/>
      </c>
      <c r="D40" s="3" t="inlineStr">
        <is>
          <t>정산</t>
        </is>
      </c>
      <c r="E40" s="3" t="inlineStr">
        <is>
          <t>메가쇼 결과 정리 (팔로워·배포·판매·명함·사진) → 결과보고 자료</t>
        </is>
      </c>
      <c r="F40" s="3" t="inlineStr">
        <is>
          <t>대표</t>
        </is>
      </c>
      <c r="G40" s="3" t="inlineStr">
        <is>
          <t>대기</t>
        </is>
      </c>
      <c r="H40" s="3" t="inlineStr">
        <is>
          <t>서디페 판촉물 잔량·보충 결정</t>
        </is>
      </c>
    </row>
    <row r="41">
      <c r="A41" s="2" t="n">
        <v>46346</v>
      </c>
      <c r="B41" s="3" t="inlineStr">
        <is>
          <t>금</t>
        </is>
      </c>
      <c r="C41" s="3">
        <f>IF(G41="완료","✔",A41-TODAY())</f>
        <v/>
      </c>
      <c r="D41" s="3" t="inlineStr">
        <is>
          <t>서디페</t>
        </is>
      </c>
      <c r="E41" s="3" t="inlineStr">
        <is>
          <t>서디페 부스 배치 확정 · 출력물 재사용 확인 · 판촉물 잔량 배분</t>
        </is>
      </c>
      <c r="F41" s="3" t="inlineStr">
        <is>
          <t>대표</t>
        </is>
      </c>
      <c r="G41" s="3" t="inlineStr">
        <is>
          <t>대기</t>
        </is>
      </c>
      <c r="H41" s="3" t="inlineStr">
        <is>
          <t>QR 스티커 coex 교체</t>
        </is>
      </c>
    </row>
    <row r="42">
      <c r="A42" s="2" t="n">
        <v>46351</v>
      </c>
      <c r="B42" s="3" t="inlineStr">
        <is>
          <t>수</t>
        </is>
      </c>
      <c r="C42" s="3">
        <f>IF(G42="완료","✔",A42-TODAY())</f>
        <v/>
      </c>
      <c r="D42" s="3" t="inlineStr">
        <is>
          <t>서디페</t>
        </is>
      </c>
      <c r="E42" s="3" t="inlineStr">
        <is>
          <t>코엑스 반입·설치</t>
        </is>
      </c>
      <c r="F42" s="3" t="inlineStr">
        <is>
          <t>전원</t>
        </is>
      </c>
      <c r="G42" s="3" t="inlineStr">
        <is>
          <t>대기</t>
        </is>
      </c>
      <c r="H42" s="3" t="inlineStr"/>
    </row>
    <row r="43">
      <c r="A43" s="2" t="n">
        <v>46355</v>
      </c>
      <c r="B43" s="3" t="inlineStr">
        <is>
          <t>일</t>
        </is>
      </c>
      <c r="C43" s="3">
        <f>IF(G43="완료","✔",A43-TODAY())</f>
        <v/>
      </c>
      <c r="D43" s="3" t="inlineStr">
        <is>
          <t>서디페</t>
        </is>
      </c>
      <c r="E43" s="3" t="inlineStr">
        <is>
          <t>서디페 종료 · 철거 · 결과 정리</t>
        </is>
      </c>
      <c r="F43" s="3" t="inlineStr">
        <is>
          <t>전원</t>
        </is>
      </c>
      <c r="G43" s="3" t="inlineStr">
        <is>
          <t>대기</t>
        </is>
      </c>
      <c r="H43" s="3" t="inlineStr"/>
    </row>
    <row r="45">
      <c r="E45" t="inlineStr">
        <is>
          <t>진행률</t>
        </is>
      </c>
      <c r="G45" s="5">
        <f>COUNTIF(G2:G43,"완료")/COUNTA(G2:G43)</f>
        <v/>
      </c>
    </row>
    <row r="46">
      <c r="E46" t="inlineStr">
        <is>
          <t>지연 (마감 지났는데 미완료)</t>
        </is>
      </c>
      <c r="G46">
        <f>COUNTIFS(A2:A43,"&lt;"&amp;TODAY(),G2:G43,"&lt;&gt;완료")</f>
        <v/>
      </c>
    </row>
    <row r="47">
      <c r="E47" t="inlineStr">
        <is>
          <t>※ 빨강 = 마감 지남 · 노랑 = 3일 이내 · 초록 = 완료. 상태 칸은 드롭다운.</t>
        </is>
      </c>
    </row>
  </sheetData>
  <conditionalFormatting sqref="A2:H43">
    <cfRule type="expression" priority="1" dxfId="0">
      <formula>$G2="완료"</formula>
    </cfRule>
    <cfRule type="expression" priority="2" dxfId="1">
      <formula>AND($G2&lt;&gt;"완료",$A2&lt;TODAY())</formula>
    </cfRule>
    <cfRule type="expression" priority="3" dxfId="2">
      <formula>AND($G2&lt;&gt;"완료",$A2-TODAY()&lt;=3,$A2&gt;=TODAY())</formula>
    </cfRule>
  </conditionalFormatting>
  <dataValidations count="1">
    <dataValidation sqref="G2:G43" showDropDown="0" showInputMessage="0" showErrorMessage="0" allowBlank="1" type="list">
      <formula1>"대기,진행,완료,보류"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2" customWidth="1" min="2" max="2"/>
    <col width="12" customWidth="1" min="3" max="3"/>
    <col width="9" customWidth="1" min="4" max="4"/>
    <col width="9" customWidth="1" min="5" max="5"/>
    <col width="9" customWidth="1" min="6" max="6"/>
    <col width="34" customWidth="1" min="7" max="7"/>
  </cols>
  <sheetData>
    <row r="1" ht="24" customHeight="1">
      <c r="A1" s="1" t="inlineStr">
        <is>
          <t>분류</t>
        </is>
      </c>
      <c r="B1" s="1" t="inlineStr">
        <is>
          <t>품목</t>
        </is>
      </c>
      <c r="C1" s="1" t="inlineStr">
        <is>
          <t>수량</t>
        </is>
      </c>
      <c r="D1" s="1" t="inlineStr">
        <is>
          <t>박스 번호</t>
        </is>
      </c>
      <c r="E1" s="1" t="inlineStr">
        <is>
          <t>메가쇼 ✔</t>
        </is>
      </c>
      <c r="F1" s="1" t="inlineStr">
        <is>
          <t>서디페 ✔</t>
        </is>
      </c>
      <c r="G1" s="1" t="inlineStr">
        <is>
          <t>비고</t>
        </is>
      </c>
    </row>
    <row r="2">
      <c r="A2" s="3" t="inlineStr">
        <is>
          <t>출력물</t>
        </is>
      </c>
      <c r="B2" s="3" t="inlineStr">
        <is>
          <t>족자 PET 950×2380 + 족자봉</t>
        </is>
      </c>
      <c r="C2" s="3" t="inlineStr">
        <is>
          <t>6</t>
        </is>
      </c>
      <c r="D2" s="3" t="inlineStr"/>
      <c r="E2" s="3" t="inlineStr"/>
      <c r="F2" s="3" t="inlineStr"/>
      <c r="G2" s="3" t="inlineStr">
        <is>
          <t>뒷벽 판넬 1~6 · S고리</t>
        </is>
      </c>
    </row>
    <row r="3">
      <c r="A3" s="3" t="inlineStr">
        <is>
          <t>출력물</t>
        </is>
      </c>
      <c r="B3" s="3" t="inlineStr">
        <is>
          <t>X배너 + 거치대 (①라라슈 ②re.feeel ③정형외과)</t>
        </is>
      </c>
      <c r="C3" s="3" t="inlineStr">
        <is>
          <t>3</t>
        </is>
      </c>
      <c r="D3" s="3" t="inlineStr"/>
      <c r="E3" s="3" t="inlineStr"/>
      <c r="F3" s="3" t="inlineStr"/>
      <c r="G3" s="3" t="inlineStr">
        <is>
          <t>거치대 KDRS 렌탈 or 스터닝 포함 확인</t>
        </is>
      </c>
    </row>
    <row r="4">
      <c r="A4" s="3" t="inlineStr">
        <is>
          <t>출력물</t>
        </is>
      </c>
      <c r="B4" s="3" t="inlineStr">
        <is>
          <t>POP A4 (워킹화·인솔·이벤트) + A4 아크릴 스탠드</t>
        </is>
      </c>
      <c r="C4" s="3" t="inlineStr">
        <is>
          <t>3+1</t>
        </is>
      </c>
      <c r="D4" s="3" t="inlineStr"/>
      <c r="E4" s="3" t="inlineStr"/>
      <c r="F4" s="3" t="inlineStr"/>
      <c r="G4" s="3" t="inlineStr"/>
    </row>
    <row r="5">
      <c r="A5" s="3" t="inlineStr">
        <is>
          <t>출력물</t>
        </is>
      </c>
      <c r="B5" s="3" t="inlineStr">
        <is>
          <t>다국어 리플렛</t>
        </is>
      </c>
      <c r="C5" s="3" t="inlineStr">
        <is>
          <t>600 / 400</t>
        </is>
      </c>
      <c r="D5" s="3" t="inlineStr"/>
      <c r="E5" s="3" t="inlineStr"/>
      <c r="F5" s="3" t="inlineStr"/>
      <c r="G5" s="3" t="inlineStr">
        <is>
          <t>메가쇼 / 서디페</t>
        </is>
      </c>
    </row>
    <row r="6">
      <c r="A6" s="3" t="inlineStr">
        <is>
          <t>출력물</t>
        </is>
      </c>
      <c r="B6" s="3" t="inlineStr">
        <is>
          <t>명함 (대표)</t>
        </is>
      </c>
      <c r="C6" s="3" t="inlineStr">
        <is>
          <t>200</t>
        </is>
      </c>
      <c r="D6" s="3" t="inlineStr"/>
      <c r="E6" s="3" t="inlineStr"/>
      <c r="F6" s="3" t="inlineStr"/>
      <c r="G6" s="3" t="inlineStr"/>
    </row>
    <row r="7">
      <c r="A7" s="3" t="inlineStr">
        <is>
          <t>출력물</t>
        </is>
      </c>
      <c r="B7" s="3" t="inlineStr">
        <is>
          <t>레오 등신대</t>
        </is>
      </c>
      <c r="C7" s="3" t="inlineStr">
        <is>
          <t>1</t>
        </is>
      </c>
      <c r="D7" s="3" t="inlineStr"/>
      <c r="E7" s="3" t="inlineStr"/>
      <c r="F7" s="3" t="inlineStr"/>
      <c r="G7" s="3" t="inlineStr"/>
    </row>
    <row r="8">
      <c r="A8" s="3" t="inlineStr">
        <is>
          <t>출력물</t>
        </is>
      </c>
      <c r="B8" s="3" t="inlineStr">
        <is>
          <t>현장가 기입 스티커·매직(라임/흰색)</t>
        </is>
      </c>
      <c r="C8" s="3" t="inlineStr">
        <is>
          <t>1세트</t>
        </is>
      </c>
      <c r="D8" s="3" t="inlineStr"/>
      <c r="E8" s="3" t="inlineStr"/>
      <c r="F8" s="3" t="inlineStr"/>
      <c r="G8" s="3" t="inlineStr">
        <is>
          <t>POP 현장가 칸</t>
        </is>
      </c>
    </row>
    <row r="9">
      <c r="A9" s="3" t="inlineStr">
        <is>
          <t>출력물</t>
        </is>
      </c>
      <c r="B9" s="3" t="inlineStr">
        <is>
          <t>"오늘 수량 소진" 안내판 (A5)</t>
        </is>
      </c>
      <c r="C9" s="3" t="inlineStr">
        <is>
          <t>2</t>
        </is>
      </c>
      <c r="D9" s="3" t="inlineStr"/>
      <c r="E9" s="3" t="inlineStr"/>
      <c r="F9" s="3" t="inlineStr"/>
      <c r="G9" s="3" t="inlineStr">
        <is>
          <t>볼펜용·칫솔용</t>
        </is>
      </c>
    </row>
    <row r="10">
      <c r="A10" s="3" t="inlineStr">
        <is>
          <t>판촉물</t>
        </is>
      </c>
      <c r="B10" s="3" t="inlineStr">
        <is>
          <t>@re.feeel 로고 CXP 볼펜</t>
        </is>
      </c>
      <c r="C10" s="3" t="inlineStr">
        <is>
          <t>③시트</t>
        </is>
      </c>
      <c r="D10" s="3" t="inlineStr"/>
      <c r="E10" s="3" t="inlineStr"/>
      <c r="F10" s="3" t="inlineStr"/>
      <c r="G10" s="3" t="inlineStr">
        <is>
          <t>박람회별 박스 분리</t>
        </is>
      </c>
    </row>
    <row r="11">
      <c r="A11" s="3" t="inlineStr">
        <is>
          <t>판촉물</t>
        </is>
      </c>
      <c r="B11" s="3" t="inlineStr">
        <is>
          <t>@re.feeel 로고 칫솔 (개별 포장)</t>
        </is>
      </c>
      <c r="C11" s="3" t="inlineStr">
        <is>
          <t>③시트</t>
        </is>
      </c>
      <c r="D11" s="3" t="inlineStr"/>
      <c r="E11" s="3" t="inlineStr"/>
      <c r="F11" s="3" t="inlineStr"/>
      <c r="G11" s="3" t="inlineStr"/>
    </row>
    <row r="12">
      <c r="A12" s="3" t="inlineStr">
        <is>
          <t>판촉물</t>
        </is>
      </c>
      <c r="B12" s="3" t="inlineStr">
        <is>
          <t>증정 바구니 2 + 인스타 QR 스탠드(A5 아크릴)</t>
        </is>
      </c>
      <c r="C12" s="3" t="inlineStr">
        <is>
          <t>1세트</t>
        </is>
      </c>
      <c r="D12" s="3" t="inlineStr"/>
      <c r="E12" s="3" t="inlineStr"/>
      <c r="F12" s="3" t="inlineStr"/>
      <c r="G12" s="3" t="inlineStr">
        <is>
          <t>카운터</t>
        </is>
      </c>
    </row>
    <row r="13">
      <c r="A13" s="3" t="inlineStr">
        <is>
          <t>라라슈</t>
        </is>
      </c>
      <c r="B13" s="3" t="inlineStr">
        <is>
          <t>워킹화 타워쇼케이스 전시 (3색)</t>
        </is>
      </c>
      <c r="C13" s="3" t="inlineStr">
        <is>
          <t>3족</t>
        </is>
      </c>
      <c r="D13" s="3" t="inlineStr"/>
      <c r="E13" s="3" t="inlineStr"/>
      <c r="F13" s="3" t="inlineStr"/>
      <c r="G13" s="3" t="inlineStr">
        <is>
          <t>1족은 밑창 보이게</t>
        </is>
      </c>
    </row>
    <row r="14">
      <c r="A14" s="3" t="inlineStr">
        <is>
          <t>라라슈</t>
        </is>
      </c>
      <c r="B14" s="3" t="inlineStr">
        <is>
          <t>워킹화 시착용 230~280</t>
        </is>
      </c>
      <c r="C14" s="3" t="inlineStr">
        <is>
          <t>6족</t>
        </is>
      </c>
      <c r="D14" s="3" t="inlineStr"/>
      <c r="E14" s="3" t="inlineStr"/>
      <c r="F14" s="3" t="inlineStr"/>
      <c r="G14" s="3" t="inlineStr"/>
    </row>
    <row r="15">
      <c r="A15" s="3" t="inlineStr">
        <is>
          <t>라라슈</t>
        </is>
      </c>
      <c r="B15" s="3" t="inlineStr">
        <is>
          <t>워킹화 판매 재고 (사이즈×색)</t>
        </is>
      </c>
      <c r="C15" s="3" t="inlineStr">
        <is>
          <t>[대표 결정]</t>
        </is>
      </c>
      <c r="D15" s="3" t="inlineStr"/>
      <c r="E15" s="3" t="inlineStr"/>
      <c r="F15" s="3" t="inlineStr"/>
      <c r="G15" s="3" t="inlineStr">
        <is>
          <t>10/23 재고 계획</t>
        </is>
      </c>
    </row>
    <row r="16">
      <c r="A16" s="3" t="inlineStr">
        <is>
          <t>라라슈</t>
        </is>
      </c>
      <c r="B16" s="3" t="inlineStr">
        <is>
          <t>밑창 전시용 단품 (포디움)</t>
        </is>
      </c>
      <c r="C16" s="3" t="inlineStr">
        <is>
          <t>1짝</t>
        </is>
      </c>
      <c r="D16" s="3" t="inlineStr"/>
      <c r="E16" s="3" t="inlineStr"/>
      <c r="F16" s="3" t="inlineStr"/>
      <c r="G16" s="3" t="inlineStr"/>
    </row>
    <row r="17">
      <c r="A17" s="3" t="inlineStr">
        <is>
          <t>라라슈</t>
        </is>
      </c>
      <c r="B17" s="3" t="inlineStr">
        <is>
          <t>인솔 체험용 M·L × 그레이·모카무스</t>
        </is>
      </c>
      <c r="C17" s="3" t="inlineStr">
        <is>
          <t>8</t>
        </is>
      </c>
      <c r="D17" s="3" t="inlineStr"/>
      <c r="E17" s="3" t="inlineStr"/>
      <c r="F17" s="3" t="inlineStr"/>
      <c r="G17" s="3" t="inlineStr">
        <is>
          <t>각 2</t>
        </is>
      </c>
    </row>
    <row r="18">
      <c r="A18" s="3" t="inlineStr">
        <is>
          <t>라라슈</t>
        </is>
      </c>
      <c r="B18" s="3" t="inlineStr">
        <is>
          <t>인솔 판매 재고</t>
        </is>
      </c>
      <c r="C18" s="3" t="inlineStr">
        <is>
          <t>[대표 결정]</t>
        </is>
      </c>
      <c r="D18" s="3" t="inlineStr"/>
      <c r="E18" s="3" t="inlineStr"/>
      <c r="F18" s="3" t="inlineStr"/>
      <c r="G18" s="3" t="inlineStr"/>
    </row>
    <row r="19">
      <c r="A19" s="3" t="inlineStr">
        <is>
          <t>라라슈</t>
        </is>
      </c>
      <c r="B19" s="3" t="inlineStr">
        <is>
          <t>단면 연출용 운동화 1족 (잘라서 깔창+반굽 보이게)</t>
        </is>
      </c>
      <c r="C19" s="3" t="inlineStr">
        <is>
          <t>1</t>
        </is>
      </c>
      <c r="D19" s="3" t="inlineStr"/>
      <c r="E19" s="3" t="inlineStr"/>
      <c r="F19" s="3" t="inlineStr"/>
      <c r="G19" s="3" t="inlineStr"/>
    </row>
    <row r="20">
      <c r="A20" s="3" t="inlineStr">
        <is>
          <t>라라슈</t>
        </is>
      </c>
      <c r="B20" s="3" t="inlineStr">
        <is>
          <t>족부 모형 (원장 승인 시)</t>
        </is>
      </c>
      <c r="C20" s="3" t="inlineStr">
        <is>
          <t>1</t>
        </is>
      </c>
      <c r="D20" s="3" t="inlineStr"/>
      <c r="E20" s="3" t="inlineStr"/>
      <c r="F20" s="3" t="inlineStr"/>
      <c r="G20" s="3" t="inlineStr"/>
    </row>
    <row r="21">
      <c r="A21" s="3" t="inlineStr">
        <is>
          <t>라라슈</t>
        </is>
      </c>
      <c r="B21" s="3" t="inlineStr">
        <is>
          <t>타일 조각 (포디움 받침, 마른 상태)</t>
        </is>
      </c>
      <c r="C21" s="3" t="inlineStr">
        <is>
          <t>2</t>
        </is>
      </c>
      <c r="D21" s="3" t="inlineStr"/>
      <c r="E21" s="3" t="inlineStr"/>
      <c r="F21" s="3" t="inlineStr"/>
      <c r="G21" s="3" t="inlineStr">
        <is>
          <t>물 뿌리기 ❌</t>
        </is>
      </c>
    </row>
    <row r="22">
      <c r="A22" s="3" t="inlineStr">
        <is>
          <t>re.feeel</t>
        </is>
      </c>
      <c r="B22" s="3" t="inlineStr">
        <is>
          <t>양치컵 전시 (40° 연출)</t>
        </is>
      </c>
      <c r="C22" s="3" t="inlineStr">
        <is>
          <t>3</t>
        </is>
      </c>
      <c r="D22" s="3" t="inlineStr"/>
      <c r="E22" s="3" t="inlineStr"/>
      <c r="F22" s="3" t="inlineStr"/>
      <c r="G22" s="3" t="inlineStr"/>
    </row>
    <row r="23">
      <c r="A23" s="3" t="inlineStr">
        <is>
          <t>re.feeel</t>
        </is>
      </c>
      <c r="B23" s="3" t="inlineStr">
        <is>
          <t>칫솔 6개입 박스 + 낱개 펼침</t>
        </is>
      </c>
      <c r="C23" s="3" t="inlineStr">
        <is>
          <t>전시 2 + 판매</t>
        </is>
      </c>
      <c r="D23" s="3" t="inlineStr"/>
      <c r="E23" s="3" t="inlineStr"/>
      <c r="F23" s="3" t="inlineStr"/>
      <c r="G23" s="3" t="inlineStr"/>
    </row>
    <row r="24">
      <c r="A24" s="3" t="inlineStr">
        <is>
          <t>re.feeel</t>
        </is>
      </c>
      <c r="B24" s="3" t="inlineStr">
        <is>
          <t>칫솔형 치실 세트·리필</t>
        </is>
      </c>
      <c r="C24" s="3" t="inlineStr">
        <is>
          <t>전시 2 + 판매</t>
        </is>
      </c>
      <c r="D24" s="3" t="inlineStr"/>
      <c r="E24" s="3" t="inlineStr"/>
      <c r="F24" s="3" t="inlineStr"/>
      <c r="G24" s="3" t="inlineStr"/>
    </row>
    <row r="25">
      <c r="A25" s="3" t="inlineStr">
        <is>
          <t>re.feeel</t>
        </is>
      </c>
      <c r="B25" s="3" t="inlineStr">
        <is>
          <t>CXP 원료 칩 + 접시</t>
        </is>
      </c>
      <c r="C25" s="3" t="inlineStr">
        <is>
          <t>1</t>
        </is>
      </c>
      <c r="D25" s="3" t="inlineStr"/>
      <c r="E25" s="3" t="inlineStr"/>
      <c r="F25" s="3" t="inlineStr"/>
      <c r="G25" s="3" t="inlineStr"/>
    </row>
    <row r="26">
      <c r="A26" s="3" t="inlineStr">
        <is>
          <t>re.feeel</t>
        </is>
      </c>
      <c r="B26" s="3" t="inlineStr">
        <is>
          <t>욕실화 컬러별 전시 (선반 3단)</t>
        </is>
      </c>
      <c r="C26" s="3" t="inlineStr">
        <is>
          <t>컬러 수만큼</t>
        </is>
      </c>
      <c r="D26" s="3" t="inlineStr"/>
      <c r="E26" s="3" t="inlineStr"/>
      <c r="F26" s="3" t="inlineStr"/>
      <c r="G26" s="3" t="inlineStr"/>
    </row>
    <row r="27">
      <c r="A27" s="3" t="inlineStr">
        <is>
          <t>re.feeel</t>
        </is>
      </c>
      <c r="B27" s="3" t="inlineStr">
        <is>
          <t>욕실화 판매 박스</t>
        </is>
      </c>
      <c r="C27" s="3" t="inlineStr">
        <is>
          <t>[대표 결정]</t>
        </is>
      </c>
      <c r="D27" s="3" t="inlineStr"/>
      <c r="E27" s="3" t="inlineStr"/>
      <c r="F27" s="3" t="inlineStr"/>
      <c r="G27" s="3" t="inlineStr"/>
    </row>
    <row r="28">
      <c r="A28" s="3" t="inlineStr">
        <is>
          <t>재사용</t>
        </is>
      </c>
      <c r="B28" s="3" t="inlineStr">
        <is>
          <t>허니콤 보드 포디움 (접어서)</t>
        </is>
      </c>
      <c r="C28" s="3" t="inlineStr">
        <is>
          <t>2</t>
        </is>
      </c>
      <c r="D28" s="3" t="inlineStr"/>
      <c r="E28" s="3" t="inlineStr"/>
      <c r="F28" s="3" t="inlineStr"/>
      <c r="G28" s="3" t="inlineStr">
        <is>
          <t>다음 전시 보관</t>
        </is>
      </c>
    </row>
    <row r="29">
      <c r="A29" s="3" t="inlineStr">
        <is>
          <t>재사용</t>
        </is>
      </c>
      <c r="B29" s="3" t="inlineStr">
        <is>
          <t>인쇄 스판 테이블 커버</t>
        </is>
      </c>
      <c r="C29" s="3" t="inlineStr">
        <is>
          <t>1</t>
        </is>
      </c>
      <c r="D29" s="3" t="inlineStr"/>
      <c r="E29" s="3" t="inlineStr"/>
      <c r="F29" s="3" t="inlineStr"/>
      <c r="G29" s="3" t="inlineStr">
        <is>
          <t>기본 데스크용</t>
        </is>
      </c>
    </row>
    <row r="30">
      <c r="A30" s="3" t="inlineStr">
        <is>
          <t>재사용</t>
        </is>
      </c>
      <c r="B30" s="3" t="inlineStr">
        <is>
          <t>포맥스 로고 사인 RS / re.feeel</t>
        </is>
      </c>
      <c r="C30" s="3" t="inlineStr">
        <is>
          <t>2</t>
        </is>
      </c>
      <c r="D30" s="3" t="inlineStr"/>
      <c r="E30" s="3" t="inlineStr"/>
      <c r="F30" s="3" t="inlineStr"/>
      <c r="G30" s="3" t="inlineStr"/>
    </row>
    <row r="31">
      <c r="A31" s="3" t="inlineStr">
        <is>
          <t>재사용</t>
        </is>
      </c>
      <c r="B31" s="3" t="inlineStr">
        <is>
          <t>클립 LED 스포트 + USB 멀티 충전기</t>
        </is>
      </c>
      <c r="C31" s="3" t="inlineStr">
        <is>
          <t>4+1</t>
        </is>
      </c>
      <c r="D31" s="3" t="inlineStr"/>
      <c r="E31" s="3" t="inlineStr"/>
      <c r="F31" s="3" t="inlineStr"/>
      <c r="G31" s="3" t="inlineStr">
        <is>
          <t>쇼케이스·포디움</t>
        </is>
      </c>
    </row>
    <row r="32">
      <c r="A32" s="3" t="inlineStr">
        <is>
          <t>결제</t>
        </is>
      </c>
      <c r="B32" s="3" t="inlineStr">
        <is>
          <t>카드 단말기(무선) + 충전기</t>
        </is>
      </c>
      <c r="C32" s="3" t="inlineStr">
        <is>
          <t>1</t>
        </is>
      </c>
      <c r="D32" s="3" t="inlineStr"/>
      <c r="E32" s="3" t="inlineStr"/>
      <c r="F32" s="3" t="inlineStr"/>
      <c r="G32" s="3" t="inlineStr"/>
    </row>
    <row r="33">
      <c r="A33" s="3" t="inlineStr">
        <is>
          <t>결제</t>
        </is>
      </c>
      <c r="B33" s="3" t="inlineStr">
        <is>
          <t>계좌이체 QR · 현금영수증 · 거스름돈 (1천원·5천원)</t>
        </is>
      </c>
      <c r="C33" s="3" t="inlineStr">
        <is>
          <t>1세트</t>
        </is>
      </c>
      <c r="D33" s="3" t="inlineStr"/>
      <c r="E33" s="3" t="inlineStr"/>
      <c r="F33" s="3" t="inlineStr"/>
      <c r="G33" s="3" t="inlineStr"/>
    </row>
    <row r="34">
      <c r="A34" s="3" t="inlineStr">
        <is>
          <t>결제</t>
        </is>
      </c>
      <c r="B34" s="3" t="inlineStr">
        <is>
          <t>판매 기록표 · 재고표</t>
        </is>
      </c>
      <c r="C34" s="3" t="inlineStr">
        <is>
          <t>4일분</t>
        </is>
      </c>
      <c r="D34" s="3" t="inlineStr"/>
      <c r="E34" s="3" t="inlineStr"/>
      <c r="F34" s="3" t="inlineStr"/>
      <c r="G34" s="3" t="inlineStr"/>
    </row>
    <row r="35">
      <c r="A35" s="3" t="inlineStr">
        <is>
          <t>장비</t>
        </is>
      </c>
      <c r="B35" s="3" t="inlineStr">
        <is>
          <t>태블릿/노트북 (인스타 확인·팔로워 화면)</t>
        </is>
      </c>
      <c r="C35" s="3" t="inlineStr">
        <is>
          <t>2</t>
        </is>
      </c>
      <c r="D35" s="3" t="inlineStr"/>
      <c r="E35" s="3" t="inlineStr"/>
      <c r="F35" s="3" t="inlineStr"/>
      <c r="G35" s="3" t="inlineStr">
        <is>
          <t>@re.feeel·@rharashoe 로그인</t>
        </is>
      </c>
    </row>
    <row r="36">
      <c r="A36" s="3" t="inlineStr">
        <is>
          <t>장비</t>
        </is>
      </c>
      <c r="B36" s="3" t="inlineStr">
        <is>
          <t>TV 영상 USB (mp4) + HDMI</t>
        </is>
      </c>
      <c r="C36" s="3" t="inlineStr">
        <is>
          <t>2</t>
        </is>
      </c>
      <c r="D36" s="3" t="inlineStr"/>
      <c r="E36" s="3" t="inlineStr"/>
      <c r="F36" s="3" t="inlineStr"/>
      <c r="G36" s="3" t="inlineStr">
        <is>
          <t>백업 1</t>
        </is>
      </c>
    </row>
    <row r="37">
      <c r="A37" s="3" t="inlineStr">
        <is>
          <t>장비</t>
        </is>
      </c>
      <c r="B37" s="3" t="inlineStr">
        <is>
          <t>멀티탭 3구 ×3 · 연장선 10m</t>
        </is>
      </c>
      <c r="C37" s="3" t="inlineStr">
        <is>
          <t>4</t>
        </is>
      </c>
      <c r="D37" s="3" t="inlineStr"/>
      <c r="E37" s="3" t="inlineStr"/>
      <c r="F37" s="3" t="inlineStr"/>
      <c r="G37" s="3" t="inlineStr"/>
    </row>
    <row r="38">
      <c r="A38" s="3" t="inlineStr">
        <is>
          <t>장비</t>
        </is>
      </c>
      <c r="B38" s="3" t="inlineStr">
        <is>
          <t>보조배터리 · 휴대폰 충전기</t>
        </is>
      </c>
      <c r="C38" s="3" t="inlineStr">
        <is>
          <t>3</t>
        </is>
      </c>
      <c r="D38" s="3" t="inlineStr"/>
      <c r="E38" s="3" t="inlineStr"/>
      <c r="F38" s="3" t="inlineStr"/>
      <c r="G38" s="3" t="inlineStr"/>
    </row>
    <row r="39">
      <c r="A39" s="3" t="inlineStr">
        <is>
          <t>소모품</t>
        </is>
      </c>
      <c r="B39" s="3" t="inlineStr">
        <is>
          <t>S고리 20 · 케이블타이 50 · 양면테이프 · 벨크로 · 가위 · 커터</t>
        </is>
      </c>
      <c r="C39" s="3" t="inlineStr">
        <is>
          <t>1세트</t>
        </is>
      </c>
      <c r="D39" s="3" t="inlineStr"/>
      <c r="E39" s="3" t="inlineStr"/>
      <c r="F39" s="3" t="inlineStr"/>
      <c r="G39" s="3" t="inlineStr"/>
    </row>
    <row r="40">
      <c r="A40" s="3" t="inlineStr">
        <is>
          <t>소모품</t>
        </is>
      </c>
      <c r="B40" s="3" t="inlineStr">
        <is>
          <t>물티슈 · 쓰레기봉투 · 비닐장갑 · 비닐봉투</t>
        </is>
      </c>
      <c r="C40" s="3" t="inlineStr">
        <is>
          <t>1세트</t>
        </is>
      </c>
      <c r="D40" s="3" t="inlineStr"/>
      <c r="E40" s="3" t="inlineStr"/>
      <c r="F40" s="3" t="inlineStr"/>
      <c r="G40" s="3" t="inlineStr"/>
    </row>
    <row r="41">
      <c r="A41" s="3" t="inlineStr">
        <is>
          <t>소모품</t>
        </is>
      </c>
      <c r="B41" s="3" t="inlineStr">
        <is>
          <t>쇼핑백 (판매 고객용)</t>
        </is>
      </c>
      <c r="C41" s="3" t="inlineStr">
        <is>
          <t>100</t>
        </is>
      </c>
      <c r="D41" s="3" t="inlineStr"/>
      <c r="E41" s="3" t="inlineStr"/>
      <c r="F41" s="3" t="inlineStr"/>
      <c r="G41" s="3" t="inlineStr"/>
    </row>
    <row r="42">
      <c r="A42" s="3" t="inlineStr">
        <is>
          <t>운영</t>
        </is>
      </c>
      <c r="B42" s="3" t="inlineStr">
        <is>
          <t>근무표 · 응대 스크립트 · FAQ · 금칙어 카드</t>
        </is>
      </c>
      <c r="C42" s="3" t="inlineStr">
        <is>
          <t>인원수</t>
        </is>
      </c>
      <c r="D42" s="3" t="inlineStr"/>
      <c r="E42" s="3" t="inlineStr"/>
      <c r="F42" s="3" t="inlineStr"/>
      <c r="G42" s="3" t="inlineStr"/>
    </row>
    <row r="43">
      <c r="A43" s="3" t="inlineStr">
        <is>
          <t>운영</t>
        </is>
      </c>
      <c r="B43" s="3" t="inlineStr">
        <is>
          <t>유니폼(블랙 티) · 명찰</t>
        </is>
      </c>
      <c r="C43" s="3" t="inlineStr">
        <is>
          <t>인원수</t>
        </is>
      </c>
      <c r="D43" s="3" t="inlineStr"/>
      <c r="E43" s="3" t="inlineStr"/>
      <c r="F43" s="3" t="inlineStr"/>
      <c r="G43" s="3" t="inlineStr"/>
    </row>
    <row r="44">
      <c r="A44" s="3" t="inlineStr">
        <is>
          <t>운영</t>
        </is>
      </c>
      <c r="B44" s="3" t="inlineStr">
        <is>
          <t>명함 응모함 + 개인정보 동의 문구</t>
        </is>
      </c>
      <c r="C44" s="3" t="inlineStr">
        <is>
          <t>1</t>
        </is>
      </c>
      <c r="D44" s="3" t="inlineStr"/>
      <c r="E44" s="3" t="inlineStr"/>
      <c r="F44" s="3" t="inlineStr"/>
      <c r="G44" s="3" t="inlineStr">
        <is>
          <t>B2B 리드</t>
        </is>
      </c>
    </row>
    <row r="45">
      <c r="A45" s="3" t="inlineStr">
        <is>
          <t>운영</t>
        </is>
      </c>
      <c r="B45" s="3" t="inlineStr">
        <is>
          <t>출입증 · 차량 반입증 · 주차</t>
        </is>
      </c>
      <c r="C45" s="3" t="inlineStr"/>
      <c r="D45" s="3" t="inlineStr"/>
      <c r="E45" s="3" t="inlineStr"/>
      <c r="F45" s="3" t="inlineStr"/>
      <c r="G45" s="3" t="inlineStr"/>
    </row>
    <row r="46">
      <c r="A46" s="3" t="inlineStr">
        <is>
          <t>증빙</t>
        </is>
      </c>
      <c r="B46" s="3" t="inlineStr">
        <is>
          <t>설치 전경·배포 현장·철거 사진 (일자별)</t>
        </is>
      </c>
      <c r="C46" s="3" t="inlineStr">
        <is>
          <t>매일</t>
        </is>
      </c>
      <c r="D46" s="3" t="inlineStr"/>
      <c r="E46" s="3" t="inlineStr"/>
      <c r="F46" s="3" t="inlineStr"/>
      <c r="G46" s="3" t="inlineStr">
        <is>
          <t>e나라도움 결과보고</t>
        </is>
      </c>
    </row>
    <row r="47">
      <c r="A47" s="3" t="inlineStr">
        <is>
          <t>증빙</t>
        </is>
      </c>
      <c r="B47" s="3" t="inlineStr">
        <is>
          <t>판촉물·출력물·집기 세금계산서·거래명세서</t>
        </is>
      </c>
      <c r="C47" s="3" t="inlineStr">
        <is>
          <t>전부</t>
        </is>
      </c>
      <c r="D47" s="3" t="inlineStr"/>
      <c r="E47" s="3" t="inlineStr"/>
      <c r="F47" s="3" t="inlineStr"/>
      <c r="G47" s="3" t="inlineStr">
        <is>
          <t>11/15 전 지급</t>
        </is>
      </c>
    </row>
    <row r="49">
      <c r="B49" t="inlineStr">
        <is>
          <t>메가쇼 준비율</t>
        </is>
      </c>
      <c r="E49" s="5">
        <f>COUNTIF(E2:E47,"✔")/COUNTA(B2:B47)</f>
        <v/>
      </c>
    </row>
  </sheetData>
  <dataValidations count="1">
    <dataValidation sqref="E2:F47" showDropDown="0" showInputMessage="0" showErrorMessage="0" allowBlank="1" type="list">
      <formula1>"✔"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  <col width="50" customWidth="1" min="4" max="4"/>
  </cols>
  <sheetData>
    <row r="1" ht="24" customHeight="1">
      <c r="A1" s="1" t="inlineStr">
        <is>
          <t>항목</t>
        </is>
      </c>
      <c r="B1" s="1" t="inlineStr">
        <is>
          <t>CXP 볼펜</t>
        </is>
      </c>
      <c r="C1" s="1" t="inlineStr">
        <is>
          <t>칫솔</t>
        </is>
      </c>
      <c r="D1" s="1" t="inlineStr">
        <is>
          <t>비고</t>
        </is>
      </c>
    </row>
    <row r="2">
      <c r="A2" s="3" t="inlineStr">
        <is>
          <t>증정 조건</t>
        </is>
      </c>
      <c r="B2" s="3" t="inlineStr">
        <is>
          <t>@re.feeel 팔로우 (화면 확인)</t>
        </is>
      </c>
      <c r="C2" s="3" t="inlineStr">
        <is>
          <t>팔로우 + 스토리에 @re.feeel 태그 + #이벤트참여</t>
        </is>
      </c>
      <c r="D2" s="3" t="inlineStr">
        <is>
          <t>공정위 추천·보증 지침: 대가 받은 게시물은 #이벤트참여 표기 안내</t>
        </is>
      </c>
    </row>
    <row r="3">
      <c r="A3" s="3" t="inlineStr">
        <is>
          <t>로고·문구</t>
        </is>
      </c>
      <c r="B3" s="3" t="inlineStr">
        <is>
          <t>@re.feeel (워드마크) 1도</t>
        </is>
      </c>
      <c r="C3" s="3" t="inlineStr">
        <is>
          <t>@re.feeel 1도 (핸들) 또는 개별 포장 스티커</t>
        </is>
      </c>
      <c r="D3" s="3" t="inlineStr">
        <is>
          <t>곰 마스코트는 작은 면적에서 뭉개짐 → 워드마크 권장</t>
        </is>
      </c>
    </row>
    <row r="4">
      <c r="A4" s="3" t="inlineStr">
        <is>
          <t>인쇄 방식</t>
        </is>
      </c>
      <c r="B4" s="3" t="inlineStr">
        <is>
          <t>실크/패드 인쇄 (바디 측면)</t>
        </is>
      </c>
      <c r="C4" s="3" t="inlineStr">
        <is>
          <t>패드 인쇄 or 레이저 각인 — CXP 소재 테스트 필요</t>
        </is>
      </c>
      <c r="D4" s="3" t="inlineStr">
        <is>
          <t>칫솔 핸들 인쇄가 어려우면 포장 스티커로 (납기 단축)</t>
        </is>
      </c>
    </row>
    <row r="5">
      <c r="A5" s="3" t="inlineStr">
        <is>
          <t>색</t>
        </is>
      </c>
      <c r="B5" s="3" t="inlineStr">
        <is>
          <t>그린 #1F472C 또는 블랙</t>
        </is>
      </c>
      <c r="C5" s="3" t="inlineStr">
        <is>
          <t>그린 #1F472C</t>
        </is>
      </c>
      <c r="D5" s="3" t="inlineStr">
        <is>
          <t>CXP 베이지 바탕에 대비</t>
        </is>
      </c>
    </row>
    <row r="6">
      <c r="A6" s="3" t="inlineStr">
        <is>
          <t>포장</t>
        </is>
      </c>
      <c r="B6" s="3" t="inlineStr">
        <is>
          <t>벌크 (바구니 증정)</t>
        </is>
      </c>
      <c r="C6" s="3" t="inlineStr">
        <is>
          <t>개별 위생 포장 필수</t>
        </is>
      </c>
      <c r="D6" s="3" t="inlineStr">
        <is>
          <t>포장에 제조사·재질·제조국 표시</t>
        </is>
      </c>
    </row>
    <row r="7">
      <c r="A7" s="3" t="inlineStr">
        <is>
          <t>메가쇼 수량</t>
        </is>
      </c>
      <c r="B7" s="3" t="n">
        <v>400</v>
      </c>
      <c r="C7" s="3" t="n">
        <v>180</v>
      </c>
      <c r="D7" s="3" t="inlineStr">
        <is>
          <t>4일 × 볼펜 100/일 · 칫솔 45/일 (주말 상향)</t>
        </is>
      </c>
    </row>
    <row r="8">
      <c r="A8" s="3" t="inlineStr">
        <is>
          <t>서디페 수량</t>
        </is>
      </c>
      <c r="B8" s="3" t="n">
        <v>300</v>
      </c>
      <c r="C8" s="3" t="n">
        <v>120</v>
      </c>
      <c r="D8" s="3" t="inlineStr">
        <is>
          <t>4일 × 볼펜 75/일 · 칫솔 30/일</t>
        </is>
      </c>
    </row>
    <row r="9">
      <c r="A9" s="3" t="inlineStr">
        <is>
          <t>합계</t>
        </is>
      </c>
      <c r="B9" s="3">
        <f>B7+B8</f>
        <v/>
      </c>
      <c r="C9" s="3">
        <f>C7+C8</f>
        <v/>
      </c>
      <c r="D9" s="3" t="inlineStr">
        <is>
          <t>총 1,000개 = 굿즈 예산 2,000천원 ÷ 단가 2,000원 기준</t>
        </is>
      </c>
    </row>
    <row r="10">
      <c r="A10" s="3" t="inlineStr">
        <is>
          <t>목표 단가(공급가)</t>
        </is>
      </c>
      <c r="B10" s="6" t="n">
        <v>1500</v>
      </c>
      <c r="C10" s="6" t="n">
        <v>2700</v>
      </c>
      <c r="D10" s="3" t="inlineStr">
        <is>
          <t>견적 받아 수정 → 아래 합계 자동</t>
        </is>
      </c>
    </row>
    <row r="11">
      <c r="A11" s="3" t="inlineStr">
        <is>
          <t>예상 금액</t>
        </is>
      </c>
      <c r="B11" s="6">
        <f>B9*B10</f>
        <v/>
      </c>
      <c r="C11" s="6">
        <f>C9*C10</f>
        <v/>
      </c>
      <c r="D11" s="3" t="inlineStr"/>
    </row>
    <row r="12">
      <c r="A12" s="3" t="inlineStr">
        <is>
          <t>굿즈 합계 / 예산</t>
        </is>
      </c>
      <c r="B12" s="6">
        <f>B11+C11</f>
        <v/>
      </c>
      <c r="C12" s="6" t="n">
        <v>2000000</v>
      </c>
      <c r="D12" s="3">
        <f>IF(B12&lt;=C12,"예산 내","예산 초과 — 수량 조정")</f>
        <v/>
      </c>
    </row>
    <row r="13">
      <c r="A13" s="3" t="inlineStr">
        <is>
          <t>납기</t>
        </is>
      </c>
      <c r="B13" s="3" t="inlineStr">
        <is>
          <t>11/6(금) 입고</t>
        </is>
      </c>
      <c r="C13" s="3" t="inlineStr">
        <is>
          <t>11/6(금) 입고</t>
        </is>
      </c>
      <c r="D13" s="3" t="inlineStr">
        <is>
          <t>발주 10/21(수) 마감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1" customWidth="1" min="3" max="3"/>
    <col width="10" customWidth="1" min="4" max="4"/>
    <col width="11" customWidth="1" min="5" max="5"/>
    <col width="10" customWidth="1" min="6" max="6"/>
    <col width="14" customWidth="1" min="7" max="7"/>
    <col width="8" customWidth="1" min="8" max="8"/>
    <col width="10" customWidth="1" min="9" max="9"/>
    <col width="8" customWidth="1" min="10" max="10"/>
    <col width="30" customWidth="1" min="11" max="11"/>
  </cols>
  <sheetData>
    <row r="1" ht="24" customHeight="1">
      <c r="A1" s="1" t="inlineStr">
        <is>
          <t>날짜</t>
        </is>
      </c>
      <c r="B1" s="1" t="inlineStr">
        <is>
          <t>박람회</t>
        </is>
      </c>
      <c r="C1" s="1" t="inlineStr">
        <is>
          <t>볼펜 시작재고</t>
        </is>
      </c>
      <c r="D1" s="1" t="inlineStr">
        <is>
          <t>볼펜 배포</t>
        </is>
      </c>
      <c r="E1" s="1" t="inlineStr">
        <is>
          <t>칫솔 시작재고</t>
        </is>
      </c>
      <c r="F1" s="1" t="inlineStr">
        <is>
          <t>칫솔 배포</t>
        </is>
      </c>
      <c r="G1" s="1" t="inlineStr">
        <is>
          <t>@re.feeel 팔로워(마감)</t>
        </is>
      </c>
      <c r="H1" s="1" t="inlineStr">
        <is>
          <t>증가</t>
        </is>
      </c>
      <c r="I1" s="1" t="inlineStr">
        <is>
          <t>판매 건수</t>
        </is>
      </c>
      <c r="J1" s="1" t="inlineStr">
        <is>
          <t>명함</t>
        </is>
      </c>
      <c r="K1" s="1" t="inlineStr">
        <is>
          <t>메모</t>
        </is>
      </c>
    </row>
    <row r="2">
      <c r="A2" s="7" t="n">
        <v>46338</v>
      </c>
      <c r="B2" s="8" t="inlineStr">
        <is>
          <t>메가쇼</t>
        </is>
      </c>
      <c r="C2" s="8">
        <f>'③ 판촉물 @re.feeel'!B7</f>
        <v/>
      </c>
      <c r="D2" s="8" t="n"/>
      <c r="E2" s="8">
        <f>'③ 판촉물 @re.feeel'!C7</f>
        <v/>
      </c>
      <c r="F2" s="8" t="n"/>
      <c r="G2" s="8" t="n"/>
      <c r="H2" s="8" t="n"/>
      <c r="I2" s="8" t="n"/>
      <c r="J2" s="8" t="n"/>
      <c r="K2" s="8" t="inlineStr"/>
    </row>
    <row r="3">
      <c r="A3" s="7" t="n">
        <v>46339</v>
      </c>
      <c r="B3" s="8" t="inlineStr">
        <is>
          <t>메가쇼</t>
        </is>
      </c>
      <c r="C3" s="8">
        <f>C2-D2</f>
        <v/>
      </c>
      <c r="D3" s="8" t="n"/>
      <c r="E3" s="8">
        <f>E2-F2</f>
        <v/>
      </c>
      <c r="F3" s="8" t="n"/>
      <c r="G3" s="8" t="n"/>
      <c r="H3" s="8">
        <f>IF(G3="","",G3-G2)</f>
        <v/>
      </c>
      <c r="I3" s="8" t="n"/>
      <c r="J3" s="8" t="n"/>
      <c r="K3" s="8" t="inlineStr"/>
    </row>
    <row r="4">
      <c r="A4" s="7" t="n">
        <v>46340</v>
      </c>
      <c r="B4" s="8" t="inlineStr">
        <is>
          <t>메가쇼</t>
        </is>
      </c>
      <c r="C4" s="8">
        <f>C3-D3</f>
        <v/>
      </c>
      <c r="D4" s="8" t="n"/>
      <c r="E4" s="8">
        <f>E3-F3</f>
        <v/>
      </c>
      <c r="F4" s="8" t="n"/>
      <c r="G4" s="8" t="n"/>
      <c r="H4" s="8">
        <f>IF(G4="","",G4-G3)</f>
        <v/>
      </c>
      <c r="I4" s="8" t="n"/>
      <c r="J4" s="8" t="n"/>
      <c r="K4" s="8" t="inlineStr"/>
    </row>
    <row r="5">
      <c r="A5" s="7" t="n">
        <v>46341</v>
      </c>
      <c r="B5" s="8" t="inlineStr">
        <is>
          <t>메가쇼</t>
        </is>
      </c>
      <c r="C5" s="8">
        <f>C4-D4</f>
        <v/>
      </c>
      <c r="D5" s="8" t="n"/>
      <c r="E5" s="8">
        <f>E4-F4</f>
        <v/>
      </c>
      <c r="F5" s="8" t="n"/>
      <c r="G5" s="8" t="n"/>
      <c r="H5" s="8">
        <f>IF(G5="","",G5-G4)</f>
        <v/>
      </c>
      <c r="I5" s="8" t="n"/>
      <c r="J5" s="8" t="n"/>
      <c r="K5" s="8" t="inlineStr"/>
    </row>
    <row r="6">
      <c r="A6" s="7" t="n">
        <v>46352</v>
      </c>
      <c r="B6" s="8" t="inlineStr">
        <is>
          <t>서디페</t>
        </is>
      </c>
      <c r="C6" s="8">
        <f>'③ 판촉물 @re.feeel'!B8</f>
        <v/>
      </c>
      <c r="D6" s="8" t="n"/>
      <c r="E6" s="8">
        <f>'③ 판촉물 @re.feeel'!C8</f>
        <v/>
      </c>
      <c r="F6" s="8" t="n"/>
      <c r="G6" s="8" t="n"/>
      <c r="H6" s="8" t="n"/>
      <c r="I6" s="8" t="n"/>
      <c r="J6" s="8" t="n"/>
      <c r="K6" s="8" t="inlineStr"/>
    </row>
    <row r="7">
      <c r="A7" s="7" t="n">
        <v>46353</v>
      </c>
      <c r="B7" s="8" t="inlineStr">
        <is>
          <t>서디페</t>
        </is>
      </c>
      <c r="C7" s="8">
        <f>C6-D6</f>
        <v/>
      </c>
      <c r="D7" s="8" t="n"/>
      <c r="E7" s="8">
        <f>E6-F6</f>
        <v/>
      </c>
      <c r="F7" s="8" t="n"/>
      <c r="G7" s="8" t="n"/>
      <c r="H7" s="8">
        <f>IF(G7="","",G7-G6)</f>
        <v/>
      </c>
      <c r="I7" s="8" t="n"/>
      <c r="J7" s="8" t="n"/>
      <c r="K7" s="8" t="inlineStr"/>
    </row>
    <row r="8">
      <c r="A8" s="7" t="n">
        <v>46354</v>
      </c>
      <c r="B8" s="8" t="inlineStr">
        <is>
          <t>서디페</t>
        </is>
      </c>
      <c r="C8" s="8">
        <f>C7-D7</f>
        <v/>
      </c>
      <c r="D8" s="8" t="n"/>
      <c r="E8" s="8">
        <f>E7-F7</f>
        <v/>
      </c>
      <c r="F8" s="8" t="n"/>
      <c r="G8" s="8" t="n"/>
      <c r="H8" s="8">
        <f>IF(G8="","",G8-G7)</f>
        <v/>
      </c>
      <c r="I8" s="8" t="n"/>
      <c r="J8" s="8" t="n"/>
      <c r="K8" s="8" t="inlineStr"/>
    </row>
    <row r="9">
      <c r="A9" s="7" t="n">
        <v>46355</v>
      </c>
      <c r="B9" s="8" t="inlineStr">
        <is>
          <t>서디페</t>
        </is>
      </c>
      <c r="C9" s="8">
        <f>C8-D8</f>
        <v/>
      </c>
      <c r="D9" s="8" t="n"/>
      <c r="E9" s="8">
        <f>E8-F8</f>
        <v/>
      </c>
      <c r="F9" s="8" t="n"/>
      <c r="G9" s="8" t="n"/>
      <c r="H9" s="8">
        <f>IF(G9="","",G9-G8)</f>
        <v/>
      </c>
      <c r="I9" s="8" t="n"/>
      <c r="J9" s="8" t="n"/>
      <c r="K9" s="8" t="inlineStr"/>
    </row>
    <row r="10">
      <c r="A10" t="inlineStr">
        <is>
          <t>합계</t>
        </is>
      </c>
      <c r="B10" t="inlineStr"/>
      <c r="C10" t="inlineStr"/>
      <c r="D10">
        <f>SUM(D2:D9)</f>
        <v/>
      </c>
      <c r="E10" t="inlineStr"/>
      <c r="F10">
        <f>SUM(F2:F9)</f>
        <v/>
      </c>
      <c r="G10" t="inlineStr"/>
      <c r="H10">
        <f>SUM(H2:H9)</f>
        <v/>
      </c>
      <c r="I10">
        <f>SUM(I2:I9)</f>
        <v/>
      </c>
      <c r="J10">
        <f>SUM(J2:J9)</f>
        <v/>
      </c>
      <c r="K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2026-10-15T14:22:34Z</dcterms:created>
  <dcterms:modified xmlns:dcterms="http://purl.org/dc/terms/" xmlns:xsi="http://www.w3.org/2001/XMLSchema-instance" xsi:type="dcterms:W3CDTF">2026-10-15T14:22:34Z</dcterms:modified>
</cp:coreProperties>
</file>